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ul/Developer/home-budget-pipeline/"/>
    </mc:Choice>
  </mc:AlternateContent>
  <xr:revisionPtr revIDLastSave="0" documentId="13_ncr:1_{9AE3DCD4-872A-F64D-90CA-DDFBAEED3242}" xr6:coauthVersionLast="47" xr6:coauthVersionMax="47" xr10:uidLastSave="{00000000-0000-0000-0000-000000000000}"/>
  <bookViews>
    <workbookView xWindow="4440" yWindow="1040" windowWidth="32320" windowHeight="25380" xr2:uid="{00000000-000D-0000-FFFF-FFFF00000000}"/>
  </bookViews>
  <sheets>
    <sheet name="Items" sheetId="1" r:id="rId1"/>
    <sheet name="Receipts" sheetId="2" r:id="rId2"/>
    <sheet name="Receipt Category Totals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G73" i="1" s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G2" i="1"/>
  <c r="F2" i="1"/>
  <c r="D72" i="1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F73" i="1" l="1"/>
  <c r="BJ2" i="3"/>
</calcChain>
</file>

<file path=xl/sharedStrings.xml><?xml version="1.0" encoding="utf-8"?>
<sst xmlns="http://schemas.openxmlformats.org/spreadsheetml/2006/main" count="485" uniqueCount="208">
  <si>
    <t>receipt_id</t>
  </si>
  <si>
    <t>line_no</t>
  </si>
  <si>
    <t>item</t>
  </si>
  <si>
    <t>amount_cad</t>
  </si>
  <si>
    <t>budget_category</t>
  </si>
  <si>
    <t>category_source</t>
  </si>
  <si>
    <t>raw_line</t>
  </si>
  <si>
    <t>20260214_sobeys_363_95</t>
  </si>
  <si>
    <t>Groceries</t>
  </si>
  <si>
    <t>default</t>
  </si>
  <si>
    <t>GROCERY | $6.49</t>
  </si>
  <si>
    <t>Cep Pic Med | $6.49</t>
  </si>
  <si>
    <t>Pie Filling S/Berry</t>
  </si>
  <si>
    <t>exact</t>
  </si>
  <si>
    <t>Pie Filling S/Berry | $6.49</t>
  </si>
  <si>
    <t>Pretzels HoneyMustar</t>
  </si>
  <si>
    <t>Pretzels HoneyMustar | $1.00 |</t>
  </si>
  <si>
    <t>Pretzel Cracker Rahe | $5.49 BC</t>
  </si>
  <si>
    <t>Chips Multigrai | $5.29 BC</t>
  </si>
  <si>
    <t>C</t>
  </si>
  <si>
    <t>C | $4.29</t>
  </si>
  <si>
    <t>BC</t>
  </si>
  <si>
    <t>BC | $4.25</t>
  </si>
  <si>
    <t>Pepsi Zero</t>
  </si>
  <si>
    <t>Pepsi Zero | $4.25 BC</t>
  </si>
  <si>
    <t>Mexican Hot Sauce</t>
  </si>
  <si>
    <t>Mexican Hot Sauce | $3.49 BC</t>
  </si>
  <si>
    <t>Candy GMS Ors | $3.49 BC</t>
  </si>
  <si>
    <t>Candy GMS Or¢ | $3.49 BC</t>
  </si>
  <si>
    <t>Lindor 3Pk</t>
  </si>
  <si>
    <t>Lindor 3Pk | $2.99 BC</t>
  </si>
  <si>
    <t>Lindor 3Pk | $2.99 ps</t>
  </si>
  <si>
    <t>Chicken Broth</t>
  </si>
  <si>
    <t>Chicken Broth | $2.89</t>
  </si>
  <si>
    <t>Bush Baked Beans</t>
  </si>
  <si>
    <t>Bush Baked Beans | $2.50</t>
  </si>
  <si>
    <t>Baked Beans</t>
  </si>
  <si>
    <t>Baked Beans | $2.50</t>
  </si>
  <si>
    <t>Green Relish</t>
  </si>
  <si>
    <t>Green Relish | $2.49</t>
  </si>
  <si>
    <t>Cake Mx CarrotSprimst | $2.49</t>
  </si>
  <si>
    <t>Cake Mix French Van</t>
  </si>
  <si>
    <t>Cake Mix French Van | $2.49</t>
  </si>
  <si>
    <t>Licorice $/Berry | $1.79 BC</t>
  </si>
  <si>
    <t>Licorice S/Berry</t>
  </si>
  <si>
    <t>Licorice S/Berry | $1.79 BC</t>
  </si>
  <si>
    <t>Gloves Cmfrt Med 1EA</t>
  </si>
  <si>
    <t>Clothing</t>
  </si>
  <si>
    <t>Gloves Cmfrt Med 1EA | $4.29 BC</t>
  </si>
  <si>
    <t>Gloves Cmnfrt Med 1EA</t>
  </si>
  <si>
    <t>Gloves Cmnfrt Med 1EA | $4.29 BC</t>
  </si>
  <si>
    <t>Scourer Refill] 1EA | $3.69 BC</t>
  </si>
  <si>
    <t>Butter Sticks Unsltd</t>
  </si>
  <si>
    <t>Butter Sticks Unsltd | $8.49</t>
  </si>
  <si>
    <t>Cottage Cheese 1%MF</t>
  </si>
  <si>
    <t>Cottage Cheese 1%MF | $6.49</t>
  </si>
  <si>
    <t>Sour Cream Light</t>
  </si>
  <si>
    <t>Sour Cream Light | $4.89</t>
  </si>
  <si>
    <t>Cottage Cheese 1%MF | $4.79</t>
  </si>
  <si>
    <t>eon tr 2 uescort aE | $5.99</t>
  </si>
  <si>
    <t>PRO | $11.22</t>
  </si>
  <si>
    <t>Mango ale | $8.99</t>
  </si>
  <si>
    <t>Basil Freeze Drd 8G</t>
  </si>
  <si>
    <t>Basil Freeze Drd 8G | $6.99</t>
  </si>
  <si>
    <t>Dill Freeze Ord 10G</t>
  </si>
  <si>
    <t>Dill Freeze Ord 10G | $6.99</t>
  </si>
  <si>
    <t>Asparagus | $6.49</t>
  </si>
  <si>
    <t>Org Straws</t>
  </si>
  <si>
    <t>Org Straws | $6.49</t>
  </si>
  <si>
    <t>Strawberries 11b | $6.49</t>
  </si>
  <si>
    <t>Little Yellows</t>
  </si>
  <si>
    <t>Little Yellows | $4.99</t>
  </si>
  <si>
    <t>C | $4.99</t>
  </si>
  <si>
    <t>Cnions Green | $3.58</t>
  </si>
  <si>
    <t>Cabbage Green | $3.28</t>
  </si>
  <si>
    <t>Bananas | $2.42</t>
  </si>
  <si>
    <t>oniahe ae | $2.30</t>
  </si>
  <si>
    <t>Carrots</t>
  </si>
  <si>
    <t>Smokies Orig Recipe</t>
  </si>
  <si>
    <t>Smokies Orig Recipe | $17.99</t>
  </si>
  <si>
    <t>Hotdog All Beef</t>
  </si>
  <si>
    <t>Hotdog All Beef | $12.49</t>
  </si>
  <si>
    <t>Chicken Wieners</t>
  </si>
  <si>
    <t>Chicken Wieners | $3.79</t>
  </si>
  <si>
    <t>DE | $15.49</t>
  </si>
  <si>
    <t>Marble Cheddar</t>
  </si>
  <si>
    <t>Marble Cheddar | $14.49</t>
  </si>
  <si>
    <t>Cheese Feta Light</t>
  </si>
  <si>
    <t>Cheese Feta Light | $6.99</t>
  </si>
  <si>
    <t>Chekn Brst Roast Ckd | $5.46</t>
  </si>
  <si>
    <t>Salami</t>
  </si>
  <si>
    <t>Salami | $4.17</t>
  </si>
  <si>
    <t>Ferogies Potato&amp;Ched | $14.49</t>
  </si>
  <si>
    <t>Perogies Potato&amp;Ched</t>
  </si>
  <si>
    <t>Perogies Potato&amp;Ched | $7.49</t>
  </si>
  <si>
    <t>Garlic Spread</t>
  </si>
  <si>
    <t>Garlic Spread | $4.72</t>
  </si>
  <si>
    <t>Baguette White</t>
  </si>
  <si>
    <t>ai_cache</t>
  </si>
  <si>
    <t>Baguette White | $3.99</t>
  </si>
  <si>
    <t>Sausage Buns</t>
  </si>
  <si>
    <t>Sausage Buns | $5.49</t>
  </si>
  <si>
    <t>Buns Hot Dog</t>
  </si>
  <si>
    <t>Buns Hot Dog | $4.99</t>
  </si>
  <si>
    <t>English Muffins Sour</t>
  </si>
  <si>
    <t>English Muffins Sour | $3.49</t>
  </si>
  <si>
    <t>order_id</t>
  </si>
  <si>
    <t>receipt_filename</t>
  </si>
  <si>
    <t>filename_total_cad</t>
  </si>
  <si>
    <t>subtotal_cad</t>
  </si>
  <si>
    <t>tax_cad</t>
  </si>
  <si>
    <t>total_cad</t>
  </si>
  <si>
    <t>parsed_item_count</t>
  </si>
  <si>
    <t>20260214_sobeys_363_95.pdf</t>
  </si>
  <si>
    <t>Child Support</t>
  </si>
  <si>
    <t>Autopac</t>
  </si>
  <si>
    <t>Car Payment</t>
  </si>
  <si>
    <t>Car Repair</t>
  </si>
  <si>
    <t>Car Replacement Fund</t>
  </si>
  <si>
    <t>Real Estate Tax</t>
  </si>
  <si>
    <t>Rental Expenses</t>
  </si>
  <si>
    <t>Cleaning</t>
  </si>
  <si>
    <t>Debt</t>
  </si>
  <si>
    <t>Dining</t>
  </si>
  <si>
    <t>Misc Paul &amp; Rox</t>
  </si>
  <si>
    <t>Medical ProfSvcs</t>
  </si>
  <si>
    <t>University / Books</t>
  </si>
  <si>
    <t>Emergency Fund</t>
  </si>
  <si>
    <t>Fuel</t>
  </si>
  <si>
    <t>Fun / Entertainment</t>
  </si>
  <si>
    <t>Furniture / Appliances</t>
  </si>
  <si>
    <t>Birthday / Celebrations</t>
  </si>
  <si>
    <t>IncomeTax Due</t>
  </si>
  <si>
    <t>Home Insurance</t>
  </si>
  <si>
    <t>Mortgage PrePayment</t>
  </si>
  <si>
    <t>Interest Expense</t>
  </si>
  <si>
    <t>Life Insurance</t>
  </si>
  <si>
    <t>Medical Products</t>
  </si>
  <si>
    <t>LTD Insurance</t>
  </si>
  <si>
    <t>Home Mortgage</t>
  </si>
  <si>
    <t>Lake</t>
  </si>
  <si>
    <t>Sinking Fund</t>
  </si>
  <si>
    <t>Donations</t>
  </si>
  <si>
    <t>Vacation</t>
  </si>
  <si>
    <t>Christmas</t>
  </si>
  <si>
    <t>Home Improvement</t>
  </si>
  <si>
    <t>RRSP GIC</t>
  </si>
  <si>
    <t>RRSP</t>
  </si>
  <si>
    <t>Health &amp; Fitness</t>
  </si>
  <si>
    <t>Accounting</t>
  </si>
  <si>
    <t>Hydro</t>
  </si>
  <si>
    <t>Online Svcs</t>
  </si>
  <si>
    <t>Wireless</t>
  </si>
  <si>
    <t>TV</t>
  </si>
  <si>
    <t>Water</t>
  </si>
  <si>
    <t>Bank Fee</t>
  </si>
  <si>
    <t>MLCC</t>
  </si>
  <si>
    <t>Cash/Unknown</t>
  </si>
  <si>
    <t>Kids Clothing</t>
  </si>
  <si>
    <t>Kids Sports</t>
  </si>
  <si>
    <t>Emp Reimburse</t>
  </si>
  <si>
    <t>Principal Expense</t>
  </si>
  <si>
    <t>Student Expense</t>
  </si>
  <si>
    <t>Hair/Salon/Body Care</t>
  </si>
  <si>
    <t>Future Use1</t>
  </si>
  <si>
    <t>Indoor Supplies</t>
  </si>
  <si>
    <t>Outdoor Supplies</t>
  </si>
  <si>
    <t>Future Use2</t>
  </si>
  <si>
    <t>Parking</t>
  </si>
  <si>
    <t>Shareholder loan</t>
  </si>
  <si>
    <t>TFSA</t>
  </si>
  <si>
    <t>Asset Purchase</t>
  </si>
  <si>
    <t>Total</t>
  </si>
  <si>
    <t>note</t>
  </si>
  <si>
    <t>Input path: /Users/paul/Developer/home-budget-pipeline/receipts/Sobeys/20260214_sobeys_363_95.pdf</t>
  </si>
  <si>
    <t>Receipts parsed: 1</t>
  </si>
  <si>
    <t>Items parsed: 71</t>
  </si>
  <si>
    <t>AI Status: enabled=True, disabled_runtime=False, calls=0, batch_items=0, ai_cache_hits=1, success=0, api_errors=0.</t>
  </si>
  <si>
    <t>Oep Pic Med</t>
  </si>
  <si>
    <t>Pretzel Cracker Rach</t>
  </si>
  <si>
    <t>Chips Rstrnt Sty Lm</t>
  </si>
  <si>
    <t>Chips Multigrain</t>
  </si>
  <si>
    <t>Dil Pkls Xt Grlc Snd</t>
  </si>
  <si>
    <t>Comp Quick Oats 1KG</t>
  </si>
  <si>
    <t>Vinta Crackers</t>
  </si>
  <si>
    <t>EHC</t>
  </si>
  <si>
    <t>Candy GMS Org</t>
  </si>
  <si>
    <t>Cake Mx CarrotSprmst</t>
  </si>
  <si>
    <t>Scourer Refill 1EA</t>
  </si>
  <si>
    <t>Topping Dessert 1L</t>
  </si>
  <si>
    <t>Mango Spears</t>
  </si>
  <si>
    <t>Asparagus 0.985 kg @ $6.59 / kg</t>
  </si>
  <si>
    <t>Apples Honeycrisp 1.275 kg @ $8.80 / kg</t>
  </si>
  <si>
    <t>Strawberries 1lb</t>
  </si>
  <si>
    <t>Cabbage Green 1.170 kg @ $2.80 / kg</t>
  </si>
  <si>
    <t>Bananas 1.260 kg @ $1.92 / kg</t>
  </si>
  <si>
    <t>Onions Red 0.525 kg @ $4.39 / kg</t>
  </si>
  <si>
    <t>Cheese Slide Med Chd</t>
  </si>
  <si>
    <t>Chckn Brst Roast Ckd</t>
  </si>
  <si>
    <t>Subtotal</t>
  </si>
  <si>
    <t>INSTANT SAVINGS</t>
  </si>
  <si>
    <t>5% GST</t>
  </si>
  <si>
    <t>7% PST</t>
  </si>
  <si>
    <t>Code</t>
  </si>
  <si>
    <t>BR</t>
  </si>
  <si>
    <t>GST</t>
  </si>
  <si>
    <t>PST</t>
  </si>
  <si>
    <t>Onions Green 2 @ 1/ $1.79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</si>
</sst>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27" zoomScale="230" zoomScaleNormal="230" workbookViewId="0">
      <selection activeCell="C33" sqref="C33"/>
    </sheetView>
  </sheetViews>
  <sheetFormatPr baseColWidth="10" defaultColWidth="8.83203125" defaultRowHeight="15" x14ac:dyDescent="0.2"/>
  <cols>
    <col min="1" max="1" width="8.5" customWidth="1"/>
    <col min="2" max="2" width="4.6640625" customWidth="1"/>
    <col min="3" max="3" width="33.1640625" customWidth="1"/>
    <col min="4" max="4" width="10" style="3" customWidth="1"/>
    <col min="5" max="7" width="7.1640625" style="3" customWidth="1"/>
    <col min="8" max="9" width="17" customWidth="1"/>
    <col min="10" max="10" width="3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203</v>
      </c>
      <c r="F1" s="2" t="s">
        <v>205</v>
      </c>
      <c r="G1" s="2" t="s">
        <v>206</v>
      </c>
      <c r="H1" s="1" t="s">
        <v>4</v>
      </c>
      <c r="I1" s="1" t="s">
        <v>5</v>
      </c>
      <c r="J1" s="1" t="s">
        <v>6</v>
      </c>
    </row>
    <row r="2" spans="1:10" x14ac:dyDescent="0.2">
      <c r="A2" t="s">
        <v>7</v>
      </c>
      <c r="B2">
        <v>3</v>
      </c>
      <c r="C2" t="s">
        <v>178</v>
      </c>
      <c r="D2" s="3">
        <v>6.49</v>
      </c>
      <c r="E2" s="4" t="s">
        <v>19</v>
      </c>
      <c r="F2" s="4">
        <f>IF(OR(E2="C",E2=""),0,D2*0.05)</f>
        <v>0</v>
      </c>
      <c r="G2" s="4">
        <f>IF(OR(E2="C",E2=""),0,D2*0.07)</f>
        <v>0</v>
      </c>
      <c r="H2" t="s">
        <v>8</v>
      </c>
      <c r="I2" t="s">
        <v>9</v>
      </c>
      <c r="J2" t="s">
        <v>10</v>
      </c>
    </row>
    <row r="3" spans="1:10" x14ac:dyDescent="0.2">
      <c r="A3" t="s">
        <v>7</v>
      </c>
      <c r="B3">
        <v>9</v>
      </c>
      <c r="C3" t="s">
        <v>178</v>
      </c>
      <c r="D3" s="3">
        <v>6.49</v>
      </c>
      <c r="E3" s="4" t="s">
        <v>19</v>
      </c>
      <c r="F3" s="4">
        <f t="shared" ref="F3:F66" si="0">IF(OR(E3="C",E3=""),0,D3*0.05)</f>
        <v>0</v>
      </c>
      <c r="G3" s="4">
        <f t="shared" ref="G3:G66" si="1">IF(OR(E3="C",E3=""),0,D3*0.07)</f>
        <v>0</v>
      </c>
      <c r="H3" t="s">
        <v>8</v>
      </c>
      <c r="I3" t="s">
        <v>9</v>
      </c>
      <c r="J3" t="s">
        <v>11</v>
      </c>
    </row>
    <row r="4" spans="1:10" x14ac:dyDescent="0.2">
      <c r="A4" t="s">
        <v>7</v>
      </c>
      <c r="C4" t="s">
        <v>200</v>
      </c>
      <c r="D4" s="3">
        <v>-0.5</v>
      </c>
      <c r="E4" s="4"/>
      <c r="F4" s="4">
        <f t="shared" si="0"/>
        <v>0</v>
      </c>
      <c r="G4" s="4">
        <f t="shared" si="1"/>
        <v>0</v>
      </c>
    </row>
    <row r="5" spans="1:10" x14ac:dyDescent="0.2">
      <c r="A5" t="s">
        <v>7</v>
      </c>
      <c r="B5">
        <v>13</v>
      </c>
      <c r="C5" t="s">
        <v>12</v>
      </c>
      <c r="D5" s="3">
        <v>6.49</v>
      </c>
      <c r="E5" s="4" t="s">
        <v>19</v>
      </c>
      <c r="F5" s="4">
        <f t="shared" si="0"/>
        <v>0</v>
      </c>
      <c r="G5" s="4">
        <f t="shared" si="1"/>
        <v>0</v>
      </c>
      <c r="H5" t="s">
        <v>8</v>
      </c>
      <c r="I5" t="s">
        <v>13</v>
      </c>
      <c r="J5" t="s">
        <v>14</v>
      </c>
    </row>
    <row r="6" spans="1:10" x14ac:dyDescent="0.2">
      <c r="A6" t="s">
        <v>7</v>
      </c>
      <c r="C6" t="s">
        <v>200</v>
      </c>
      <c r="D6" s="3">
        <v>-0.5</v>
      </c>
      <c r="E6" s="4"/>
      <c r="F6" s="4">
        <f t="shared" si="0"/>
        <v>0</v>
      </c>
      <c r="G6" s="4">
        <f t="shared" si="1"/>
        <v>0</v>
      </c>
    </row>
    <row r="7" spans="1:10" x14ac:dyDescent="0.2">
      <c r="A7" t="s">
        <v>7</v>
      </c>
      <c r="B7">
        <v>23</v>
      </c>
      <c r="C7" t="s">
        <v>12</v>
      </c>
      <c r="D7" s="3">
        <v>6.49</v>
      </c>
      <c r="E7" s="4" t="s">
        <v>19</v>
      </c>
      <c r="F7" s="4">
        <f t="shared" si="0"/>
        <v>0</v>
      </c>
      <c r="G7" s="4">
        <f t="shared" si="1"/>
        <v>0</v>
      </c>
      <c r="H7" t="s">
        <v>8</v>
      </c>
      <c r="I7" t="s">
        <v>13</v>
      </c>
      <c r="J7" t="s">
        <v>14</v>
      </c>
    </row>
    <row r="8" spans="1:10" x14ac:dyDescent="0.2">
      <c r="A8" t="s">
        <v>7</v>
      </c>
      <c r="B8">
        <v>37</v>
      </c>
      <c r="C8" t="s">
        <v>15</v>
      </c>
      <c r="D8" s="3">
        <v>5.49</v>
      </c>
      <c r="E8" s="4" t="s">
        <v>21</v>
      </c>
      <c r="F8" s="4">
        <f t="shared" si="0"/>
        <v>0.27450000000000002</v>
      </c>
      <c r="G8" s="4">
        <f t="shared" si="1"/>
        <v>0.38430000000000003</v>
      </c>
      <c r="H8" t="s">
        <v>8</v>
      </c>
      <c r="I8" t="s">
        <v>9</v>
      </c>
      <c r="J8" t="s">
        <v>16</v>
      </c>
    </row>
    <row r="9" spans="1:10" x14ac:dyDescent="0.2">
      <c r="A9" t="s">
        <v>7</v>
      </c>
      <c r="B9">
        <v>43</v>
      </c>
      <c r="C9" t="s">
        <v>179</v>
      </c>
      <c r="D9" s="3">
        <v>5.49</v>
      </c>
      <c r="E9" s="4" t="s">
        <v>21</v>
      </c>
      <c r="F9" s="4">
        <f t="shared" si="0"/>
        <v>0.27450000000000002</v>
      </c>
      <c r="G9" s="4">
        <f t="shared" si="1"/>
        <v>0.38430000000000003</v>
      </c>
      <c r="H9" t="s">
        <v>8</v>
      </c>
      <c r="I9" t="s">
        <v>13</v>
      </c>
      <c r="J9" t="s">
        <v>17</v>
      </c>
    </row>
    <row r="10" spans="1:10" x14ac:dyDescent="0.2">
      <c r="A10" t="s">
        <v>7</v>
      </c>
      <c r="B10">
        <v>51</v>
      </c>
      <c r="C10" t="s">
        <v>181</v>
      </c>
      <c r="D10" s="3">
        <v>5.29</v>
      </c>
      <c r="E10" s="4" t="s">
        <v>21</v>
      </c>
      <c r="F10" s="4">
        <f t="shared" si="0"/>
        <v>0.26450000000000001</v>
      </c>
      <c r="G10" s="4">
        <f t="shared" si="1"/>
        <v>0.37030000000000002</v>
      </c>
      <c r="H10" t="s">
        <v>8</v>
      </c>
      <c r="I10" t="s">
        <v>13</v>
      </c>
      <c r="J10" t="s">
        <v>18</v>
      </c>
    </row>
    <row r="11" spans="1:10" x14ac:dyDescent="0.2">
      <c r="A11" t="s">
        <v>7</v>
      </c>
      <c r="B11">
        <v>79</v>
      </c>
      <c r="C11" t="s">
        <v>180</v>
      </c>
      <c r="D11" s="3">
        <v>5.29</v>
      </c>
      <c r="E11" s="4" t="s">
        <v>21</v>
      </c>
      <c r="F11" s="4">
        <f t="shared" si="0"/>
        <v>0.26450000000000001</v>
      </c>
      <c r="G11" s="4">
        <f t="shared" si="1"/>
        <v>0.37030000000000002</v>
      </c>
      <c r="H11" t="s">
        <v>8</v>
      </c>
      <c r="I11" t="s">
        <v>9</v>
      </c>
      <c r="J11" t="s">
        <v>20</v>
      </c>
    </row>
    <row r="12" spans="1:10" x14ac:dyDescent="0.2">
      <c r="A12" t="s">
        <v>7</v>
      </c>
      <c r="B12">
        <v>85</v>
      </c>
      <c r="C12" t="s">
        <v>182</v>
      </c>
      <c r="D12" s="3">
        <v>4.99</v>
      </c>
      <c r="E12" s="4" t="s">
        <v>19</v>
      </c>
      <c r="F12" s="4">
        <f t="shared" si="0"/>
        <v>0</v>
      </c>
      <c r="G12" s="4">
        <f t="shared" si="1"/>
        <v>0</v>
      </c>
      <c r="H12" t="s">
        <v>8</v>
      </c>
      <c r="I12" t="s">
        <v>9</v>
      </c>
      <c r="J12" t="s">
        <v>22</v>
      </c>
    </row>
    <row r="13" spans="1:10" x14ac:dyDescent="0.2">
      <c r="A13" t="s">
        <v>7</v>
      </c>
      <c r="C13" t="s">
        <v>183</v>
      </c>
      <c r="D13" s="3">
        <v>4.79</v>
      </c>
      <c r="E13" s="4" t="s">
        <v>19</v>
      </c>
      <c r="F13" s="4">
        <f t="shared" si="0"/>
        <v>0</v>
      </c>
      <c r="G13" s="4">
        <f t="shared" si="1"/>
        <v>0</v>
      </c>
    </row>
    <row r="14" spans="1:10" x14ac:dyDescent="0.2">
      <c r="A14" t="s">
        <v>7</v>
      </c>
      <c r="C14" t="s">
        <v>184</v>
      </c>
      <c r="D14" s="3">
        <v>4.29</v>
      </c>
      <c r="E14" s="4" t="s">
        <v>19</v>
      </c>
      <c r="F14" s="4">
        <f t="shared" si="0"/>
        <v>0</v>
      </c>
      <c r="G14" s="4">
        <f t="shared" si="1"/>
        <v>0</v>
      </c>
    </row>
    <row r="15" spans="1:10" x14ac:dyDescent="0.2">
      <c r="A15" t="s">
        <v>7</v>
      </c>
      <c r="B15">
        <v>97</v>
      </c>
      <c r="C15" t="s">
        <v>23</v>
      </c>
      <c r="D15" s="3">
        <v>4.25</v>
      </c>
      <c r="E15" s="4" t="s">
        <v>21</v>
      </c>
      <c r="F15" s="4">
        <f t="shared" si="0"/>
        <v>0.21250000000000002</v>
      </c>
      <c r="G15" s="4">
        <f t="shared" si="1"/>
        <v>0.29750000000000004</v>
      </c>
      <c r="H15" t="s">
        <v>8</v>
      </c>
      <c r="I15" t="s">
        <v>9</v>
      </c>
      <c r="J15" t="s">
        <v>24</v>
      </c>
    </row>
    <row r="16" spans="1:10" x14ac:dyDescent="0.2">
      <c r="A16" t="s">
        <v>7</v>
      </c>
      <c r="C16" t="s">
        <v>185</v>
      </c>
      <c r="D16" s="3">
        <v>0.12</v>
      </c>
      <c r="E16" s="4" t="s">
        <v>204</v>
      </c>
      <c r="F16" s="4">
        <f t="shared" si="0"/>
        <v>6.0000000000000001E-3</v>
      </c>
      <c r="G16" s="4">
        <f t="shared" si="1"/>
        <v>8.4000000000000012E-3</v>
      </c>
    </row>
    <row r="17" spans="1:10" x14ac:dyDescent="0.2">
      <c r="A17" t="s">
        <v>7</v>
      </c>
      <c r="B17">
        <v>97</v>
      </c>
      <c r="C17" t="s">
        <v>23</v>
      </c>
      <c r="D17" s="3">
        <v>4.25</v>
      </c>
      <c r="E17" s="4" t="s">
        <v>21</v>
      </c>
      <c r="F17" s="4">
        <f t="shared" si="0"/>
        <v>0.21250000000000002</v>
      </c>
      <c r="G17" s="4">
        <f t="shared" si="1"/>
        <v>0.29750000000000004</v>
      </c>
      <c r="H17" t="s">
        <v>8</v>
      </c>
      <c r="I17" t="s">
        <v>9</v>
      </c>
      <c r="J17" t="s">
        <v>24</v>
      </c>
    </row>
    <row r="18" spans="1:10" x14ac:dyDescent="0.2">
      <c r="A18" t="s">
        <v>7</v>
      </c>
      <c r="C18" t="s">
        <v>185</v>
      </c>
      <c r="D18" s="3">
        <v>0.12</v>
      </c>
      <c r="E18" s="4" t="s">
        <v>204</v>
      </c>
      <c r="F18" s="4">
        <f t="shared" si="0"/>
        <v>6.0000000000000001E-3</v>
      </c>
      <c r="G18" s="4">
        <f t="shared" si="1"/>
        <v>8.4000000000000012E-3</v>
      </c>
    </row>
    <row r="19" spans="1:10" x14ac:dyDescent="0.2">
      <c r="A19" t="s">
        <v>7</v>
      </c>
      <c r="B19">
        <v>107</v>
      </c>
      <c r="C19" t="s">
        <v>25</v>
      </c>
      <c r="D19" s="3">
        <v>3.69</v>
      </c>
      <c r="E19" s="4" t="s">
        <v>19</v>
      </c>
      <c r="F19" s="4">
        <f t="shared" si="0"/>
        <v>0</v>
      </c>
      <c r="G19" s="4">
        <f t="shared" si="1"/>
        <v>0</v>
      </c>
      <c r="H19" t="s">
        <v>8</v>
      </c>
      <c r="I19" t="s">
        <v>13</v>
      </c>
      <c r="J19" t="s">
        <v>26</v>
      </c>
    </row>
    <row r="20" spans="1:10" x14ac:dyDescent="0.2">
      <c r="A20" t="s">
        <v>7</v>
      </c>
      <c r="B20">
        <v>115</v>
      </c>
      <c r="C20" t="s">
        <v>186</v>
      </c>
      <c r="D20" s="3">
        <v>3.49</v>
      </c>
      <c r="E20" s="4" t="s">
        <v>21</v>
      </c>
      <c r="F20" s="4">
        <f t="shared" si="0"/>
        <v>0.17450000000000002</v>
      </c>
      <c r="G20" s="4">
        <f t="shared" si="1"/>
        <v>0.24430000000000004</v>
      </c>
      <c r="H20" t="s">
        <v>8</v>
      </c>
      <c r="I20" t="s">
        <v>13</v>
      </c>
      <c r="J20" t="s">
        <v>27</v>
      </c>
    </row>
    <row r="21" spans="1:10" x14ac:dyDescent="0.2">
      <c r="A21" t="s">
        <v>7</v>
      </c>
      <c r="B21">
        <v>123</v>
      </c>
      <c r="C21" t="s">
        <v>186</v>
      </c>
      <c r="D21" s="3">
        <v>3.49</v>
      </c>
      <c r="E21" s="4" t="s">
        <v>21</v>
      </c>
      <c r="F21" s="4">
        <f t="shared" si="0"/>
        <v>0.17450000000000002</v>
      </c>
      <c r="G21" s="4">
        <f t="shared" si="1"/>
        <v>0.24430000000000004</v>
      </c>
      <c r="H21" t="s">
        <v>8</v>
      </c>
      <c r="I21" t="s">
        <v>13</v>
      </c>
      <c r="J21" t="s">
        <v>28</v>
      </c>
    </row>
    <row r="22" spans="1:10" x14ac:dyDescent="0.2">
      <c r="A22" t="s">
        <v>7</v>
      </c>
      <c r="C22" t="s">
        <v>186</v>
      </c>
      <c r="D22" s="3">
        <v>3.49</v>
      </c>
      <c r="E22" s="4" t="s">
        <v>21</v>
      </c>
      <c r="F22" s="4">
        <f t="shared" si="0"/>
        <v>0.17450000000000002</v>
      </c>
      <c r="G22" s="4">
        <f t="shared" si="1"/>
        <v>0.24430000000000004</v>
      </c>
    </row>
    <row r="23" spans="1:10" x14ac:dyDescent="0.2">
      <c r="A23" t="s">
        <v>7</v>
      </c>
      <c r="B23">
        <v>131</v>
      </c>
      <c r="C23" t="s">
        <v>29</v>
      </c>
      <c r="D23" s="3">
        <v>2.99</v>
      </c>
      <c r="E23" s="4" t="s">
        <v>21</v>
      </c>
      <c r="F23" s="4">
        <f t="shared" si="0"/>
        <v>0.14950000000000002</v>
      </c>
      <c r="G23" s="4">
        <f t="shared" si="1"/>
        <v>0.20930000000000004</v>
      </c>
      <c r="H23" t="s">
        <v>8</v>
      </c>
      <c r="I23" t="s">
        <v>9</v>
      </c>
      <c r="J23" t="s">
        <v>30</v>
      </c>
    </row>
    <row r="24" spans="1:10" x14ac:dyDescent="0.2">
      <c r="A24" t="s">
        <v>7</v>
      </c>
      <c r="B24">
        <v>135</v>
      </c>
      <c r="C24" t="s">
        <v>29</v>
      </c>
      <c r="D24" s="3">
        <v>2.99</v>
      </c>
      <c r="E24" s="4" t="s">
        <v>21</v>
      </c>
      <c r="F24" s="4">
        <f t="shared" si="0"/>
        <v>0.14950000000000002</v>
      </c>
      <c r="G24" s="4">
        <f t="shared" si="1"/>
        <v>0.20930000000000004</v>
      </c>
      <c r="H24" t="s">
        <v>8</v>
      </c>
      <c r="I24" t="s">
        <v>9</v>
      </c>
      <c r="J24" t="s">
        <v>30</v>
      </c>
    </row>
    <row r="25" spans="1:10" x14ac:dyDescent="0.2">
      <c r="A25" t="s">
        <v>7</v>
      </c>
      <c r="B25">
        <v>139</v>
      </c>
      <c r="C25" t="s">
        <v>29</v>
      </c>
      <c r="D25" s="3">
        <v>2.99</v>
      </c>
      <c r="E25" s="4" t="s">
        <v>21</v>
      </c>
      <c r="F25" s="4">
        <f t="shared" si="0"/>
        <v>0.14950000000000002</v>
      </c>
      <c r="G25" s="4">
        <f t="shared" si="1"/>
        <v>0.20930000000000004</v>
      </c>
      <c r="H25" t="s">
        <v>8</v>
      </c>
      <c r="I25" t="s">
        <v>9</v>
      </c>
      <c r="J25" t="s">
        <v>31</v>
      </c>
    </row>
    <row r="26" spans="1:10" x14ac:dyDescent="0.2">
      <c r="A26" t="s">
        <v>7</v>
      </c>
      <c r="B26">
        <v>143</v>
      </c>
      <c r="C26" t="s">
        <v>32</v>
      </c>
      <c r="D26" s="3">
        <v>2.89</v>
      </c>
      <c r="E26" s="4" t="s">
        <v>19</v>
      </c>
      <c r="F26" s="4">
        <f t="shared" si="0"/>
        <v>0</v>
      </c>
      <c r="G26" s="4">
        <f t="shared" si="1"/>
        <v>0</v>
      </c>
      <c r="H26" t="s">
        <v>8</v>
      </c>
      <c r="I26" t="s">
        <v>13</v>
      </c>
      <c r="J26" t="s">
        <v>33</v>
      </c>
    </row>
    <row r="27" spans="1:10" x14ac:dyDescent="0.2">
      <c r="A27" t="s">
        <v>7</v>
      </c>
      <c r="B27">
        <v>147</v>
      </c>
      <c r="C27" t="s">
        <v>34</v>
      </c>
      <c r="D27" s="3">
        <v>2.5</v>
      </c>
      <c r="E27" s="4" t="s">
        <v>19</v>
      </c>
      <c r="F27" s="4">
        <f t="shared" si="0"/>
        <v>0</v>
      </c>
      <c r="G27" s="4">
        <f t="shared" si="1"/>
        <v>0</v>
      </c>
      <c r="H27" t="s">
        <v>8</v>
      </c>
      <c r="I27" t="s">
        <v>13</v>
      </c>
      <c r="J27" t="s">
        <v>35</v>
      </c>
    </row>
    <row r="28" spans="1:10" x14ac:dyDescent="0.2">
      <c r="A28" t="s">
        <v>7</v>
      </c>
      <c r="B28">
        <v>157</v>
      </c>
      <c r="C28" t="s">
        <v>36</v>
      </c>
      <c r="D28" s="3">
        <v>2.5</v>
      </c>
      <c r="E28" s="4" t="s">
        <v>19</v>
      </c>
      <c r="F28" s="4">
        <f t="shared" si="0"/>
        <v>0</v>
      </c>
      <c r="G28" s="4">
        <f t="shared" si="1"/>
        <v>0</v>
      </c>
      <c r="H28" t="s">
        <v>8</v>
      </c>
      <c r="I28" t="s">
        <v>13</v>
      </c>
      <c r="J28" t="s">
        <v>37</v>
      </c>
    </row>
    <row r="29" spans="1:10" x14ac:dyDescent="0.2">
      <c r="A29" t="s">
        <v>7</v>
      </c>
      <c r="B29">
        <v>167</v>
      </c>
      <c r="C29" t="s">
        <v>38</v>
      </c>
      <c r="D29" s="3">
        <v>2.4900000000000002</v>
      </c>
      <c r="E29" s="4" t="s">
        <v>19</v>
      </c>
      <c r="F29" s="4">
        <f t="shared" si="0"/>
        <v>0</v>
      </c>
      <c r="G29" s="4">
        <f t="shared" si="1"/>
        <v>0</v>
      </c>
      <c r="H29" t="s">
        <v>8</v>
      </c>
      <c r="I29" t="s">
        <v>9</v>
      </c>
      <c r="J29" t="s">
        <v>39</v>
      </c>
    </row>
    <row r="30" spans="1:10" x14ac:dyDescent="0.2">
      <c r="A30" t="s">
        <v>7</v>
      </c>
      <c r="B30">
        <v>175</v>
      </c>
      <c r="C30" t="s">
        <v>187</v>
      </c>
      <c r="D30" s="3">
        <v>2.4900000000000002</v>
      </c>
      <c r="E30" s="4" t="s">
        <v>19</v>
      </c>
      <c r="F30" s="4">
        <f t="shared" si="0"/>
        <v>0</v>
      </c>
      <c r="G30" s="4">
        <f t="shared" si="1"/>
        <v>0</v>
      </c>
      <c r="H30" t="s">
        <v>8</v>
      </c>
      <c r="I30" t="s">
        <v>9</v>
      </c>
      <c r="J30" t="s">
        <v>40</v>
      </c>
    </row>
    <row r="31" spans="1:10" x14ac:dyDescent="0.2">
      <c r="A31" t="s">
        <v>7</v>
      </c>
      <c r="B31">
        <v>185</v>
      </c>
      <c r="C31" t="s">
        <v>41</v>
      </c>
      <c r="D31" s="3">
        <v>2.4900000000000002</v>
      </c>
      <c r="E31" s="4" t="s">
        <v>19</v>
      </c>
      <c r="F31" s="4">
        <f t="shared" si="0"/>
        <v>0</v>
      </c>
      <c r="G31" s="4">
        <f t="shared" si="1"/>
        <v>0</v>
      </c>
      <c r="H31" t="s">
        <v>8</v>
      </c>
      <c r="I31" t="s">
        <v>9</v>
      </c>
      <c r="J31" t="s">
        <v>42</v>
      </c>
    </row>
    <row r="32" spans="1:10" x14ac:dyDescent="0.2">
      <c r="A32" t="s">
        <v>7</v>
      </c>
      <c r="B32">
        <v>193</v>
      </c>
      <c r="C32" t="s">
        <v>44</v>
      </c>
      <c r="D32" s="3">
        <v>1.79</v>
      </c>
      <c r="E32" s="4" t="s">
        <v>21</v>
      </c>
      <c r="F32" s="4">
        <f t="shared" si="0"/>
        <v>8.950000000000001E-2</v>
      </c>
      <c r="G32" s="4">
        <f t="shared" si="1"/>
        <v>0.12530000000000002</v>
      </c>
      <c r="H32" t="s">
        <v>8</v>
      </c>
      <c r="I32" t="s">
        <v>13</v>
      </c>
      <c r="J32" t="s">
        <v>43</v>
      </c>
    </row>
    <row r="33" spans="1:10" x14ac:dyDescent="0.2">
      <c r="A33" t="s">
        <v>7</v>
      </c>
      <c r="B33">
        <v>197</v>
      </c>
      <c r="C33" t="s">
        <v>44</v>
      </c>
      <c r="D33" s="3">
        <v>1.79</v>
      </c>
      <c r="E33" s="4" t="s">
        <v>21</v>
      </c>
      <c r="F33" s="4">
        <f t="shared" si="0"/>
        <v>8.950000000000001E-2</v>
      </c>
      <c r="G33" s="4">
        <f t="shared" si="1"/>
        <v>0.12530000000000002</v>
      </c>
      <c r="H33" t="s">
        <v>8</v>
      </c>
      <c r="I33" t="s">
        <v>13</v>
      </c>
      <c r="J33" t="s">
        <v>45</v>
      </c>
    </row>
    <row r="34" spans="1:10" x14ac:dyDescent="0.2">
      <c r="A34" t="s">
        <v>7</v>
      </c>
      <c r="B34">
        <v>201</v>
      </c>
      <c r="C34" t="s">
        <v>44</v>
      </c>
      <c r="D34" s="3">
        <v>1.79</v>
      </c>
      <c r="E34" s="4" t="s">
        <v>21</v>
      </c>
      <c r="F34" s="4">
        <f t="shared" si="0"/>
        <v>8.950000000000001E-2</v>
      </c>
      <c r="G34" s="4">
        <f t="shared" si="1"/>
        <v>0.12530000000000002</v>
      </c>
      <c r="H34" t="s">
        <v>8</v>
      </c>
      <c r="I34" t="s">
        <v>13</v>
      </c>
      <c r="J34" t="s">
        <v>45</v>
      </c>
    </row>
    <row r="35" spans="1:10" x14ac:dyDescent="0.2">
      <c r="A35" t="s">
        <v>7</v>
      </c>
      <c r="B35">
        <v>205</v>
      </c>
      <c r="C35" t="s">
        <v>46</v>
      </c>
      <c r="D35" s="3">
        <v>4.29</v>
      </c>
      <c r="E35" s="4" t="s">
        <v>21</v>
      </c>
      <c r="F35" s="4">
        <f t="shared" si="0"/>
        <v>0.21450000000000002</v>
      </c>
      <c r="G35" s="4">
        <f t="shared" si="1"/>
        <v>0.30030000000000001</v>
      </c>
      <c r="H35" t="s">
        <v>47</v>
      </c>
      <c r="I35" t="s">
        <v>13</v>
      </c>
      <c r="J35" t="s">
        <v>48</v>
      </c>
    </row>
    <row r="36" spans="1:10" x14ac:dyDescent="0.2">
      <c r="A36" t="s">
        <v>7</v>
      </c>
      <c r="B36">
        <v>209</v>
      </c>
      <c r="C36" t="s">
        <v>49</v>
      </c>
      <c r="D36" s="3">
        <v>4.29</v>
      </c>
      <c r="E36" s="4" t="s">
        <v>21</v>
      </c>
      <c r="F36" s="4">
        <f t="shared" si="0"/>
        <v>0.21450000000000002</v>
      </c>
      <c r="G36" s="4">
        <f t="shared" si="1"/>
        <v>0.30030000000000001</v>
      </c>
      <c r="H36" t="s">
        <v>47</v>
      </c>
      <c r="I36" t="s">
        <v>13</v>
      </c>
      <c r="J36" t="s">
        <v>50</v>
      </c>
    </row>
    <row r="37" spans="1:10" x14ac:dyDescent="0.2">
      <c r="A37" t="s">
        <v>7</v>
      </c>
      <c r="B37">
        <v>213</v>
      </c>
      <c r="C37" t="s">
        <v>188</v>
      </c>
      <c r="D37" s="3">
        <v>3.69</v>
      </c>
      <c r="E37" s="4" t="s">
        <v>21</v>
      </c>
      <c r="F37" s="4">
        <f t="shared" si="0"/>
        <v>0.1845</v>
      </c>
      <c r="G37" s="4">
        <f t="shared" si="1"/>
        <v>0.25830000000000003</v>
      </c>
      <c r="H37" t="s">
        <v>8</v>
      </c>
      <c r="I37" t="s">
        <v>9</v>
      </c>
      <c r="J37" t="s">
        <v>51</v>
      </c>
    </row>
    <row r="38" spans="1:10" x14ac:dyDescent="0.2">
      <c r="A38" t="s">
        <v>7</v>
      </c>
      <c r="B38">
        <v>217</v>
      </c>
      <c r="C38" t="s">
        <v>52</v>
      </c>
      <c r="D38" s="3">
        <v>8.49</v>
      </c>
      <c r="E38" s="4" t="s">
        <v>19</v>
      </c>
      <c r="F38" s="4">
        <f t="shared" si="0"/>
        <v>0</v>
      </c>
      <c r="G38" s="4">
        <f t="shared" si="1"/>
        <v>0</v>
      </c>
      <c r="H38" t="s">
        <v>8</v>
      </c>
      <c r="I38" t="s">
        <v>13</v>
      </c>
      <c r="J38" t="s">
        <v>53</v>
      </c>
    </row>
    <row r="39" spans="1:10" x14ac:dyDescent="0.2">
      <c r="A39" t="s">
        <v>7</v>
      </c>
      <c r="B39">
        <v>223</v>
      </c>
      <c r="C39" t="s">
        <v>54</v>
      </c>
      <c r="D39" s="3">
        <v>6.49</v>
      </c>
      <c r="E39" s="4" t="s">
        <v>19</v>
      </c>
      <c r="F39" s="4">
        <f t="shared" si="0"/>
        <v>0</v>
      </c>
      <c r="G39" s="4">
        <f t="shared" si="1"/>
        <v>0</v>
      </c>
      <c r="H39" t="s">
        <v>8</v>
      </c>
      <c r="I39" t="s">
        <v>13</v>
      </c>
      <c r="J39" t="s">
        <v>55</v>
      </c>
    </row>
    <row r="40" spans="1:10" x14ac:dyDescent="0.2">
      <c r="A40" t="s">
        <v>7</v>
      </c>
      <c r="B40">
        <v>227</v>
      </c>
      <c r="C40" t="s">
        <v>56</v>
      </c>
      <c r="D40" s="3">
        <v>4.8899999999999997</v>
      </c>
      <c r="E40" s="4" t="s">
        <v>19</v>
      </c>
      <c r="F40" s="4">
        <f t="shared" si="0"/>
        <v>0</v>
      </c>
      <c r="G40" s="4">
        <f t="shared" si="1"/>
        <v>0</v>
      </c>
      <c r="H40" t="s">
        <v>8</v>
      </c>
      <c r="I40" t="s">
        <v>13</v>
      </c>
      <c r="J40" t="s">
        <v>57</v>
      </c>
    </row>
    <row r="41" spans="1:10" x14ac:dyDescent="0.2">
      <c r="A41" t="s">
        <v>7</v>
      </c>
      <c r="B41">
        <v>231</v>
      </c>
      <c r="C41" t="s">
        <v>54</v>
      </c>
      <c r="D41" s="3">
        <v>4.79</v>
      </c>
      <c r="E41" s="4" t="s">
        <v>19</v>
      </c>
      <c r="F41" s="4">
        <f t="shared" si="0"/>
        <v>0</v>
      </c>
      <c r="G41" s="4">
        <f t="shared" si="1"/>
        <v>0</v>
      </c>
      <c r="H41" t="s">
        <v>8</v>
      </c>
      <c r="I41" t="s">
        <v>13</v>
      </c>
      <c r="J41" t="s">
        <v>58</v>
      </c>
    </row>
    <row r="42" spans="1:10" x14ac:dyDescent="0.2">
      <c r="A42" t="s">
        <v>7</v>
      </c>
      <c r="B42">
        <v>235</v>
      </c>
      <c r="C42" t="s">
        <v>189</v>
      </c>
      <c r="D42" s="3">
        <v>5.99</v>
      </c>
      <c r="E42" s="4" t="s">
        <v>19</v>
      </c>
      <c r="F42" s="4">
        <f t="shared" si="0"/>
        <v>0</v>
      </c>
      <c r="G42" s="4">
        <f t="shared" si="1"/>
        <v>0</v>
      </c>
      <c r="H42" t="s">
        <v>8</v>
      </c>
      <c r="I42" t="s">
        <v>9</v>
      </c>
      <c r="J42" t="s">
        <v>59</v>
      </c>
    </row>
    <row r="43" spans="1:10" x14ac:dyDescent="0.2">
      <c r="A43" t="s">
        <v>7</v>
      </c>
      <c r="B43">
        <v>239</v>
      </c>
      <c r="C43" t="s">
        <v>192</v>
      </c>
      <c r="D43" s="3">
        <v>11.22</v>
      </c>
      <c r="E43" s="4" t="s">
        <v>19</v>
      </c>
      <c r="F43" s="4">
        <f t="shared" si="0"/>
        <v>0</v>
      </c>
      <c r="G43" s="4">
        <f t="shared" si="1"/>
        <v>0</v>
      </c>
      <c r="H43" t="s">
        <v>8</v>
      </c>
      <c r="I43" t="s">
        <v>9</v>
      </c>
      <c r="J43" t="s">
        <v>60</v>
      </c>
    </row>
    <row r="44" spans="1:10" x14ac:dyDescent="0.2">
      <c r="A44" t="s">
        <v>7</v>
      </c>
      <c r="B44">
        <v>253</v>
      </c>
      <c r="C44" t="s">
        <v>190</v>
      </c>
      <c r="D44" s="3">
        <v>8.99</v>
      </c>
      <c r="E44" s="4" t="s">
        <v>19</v>
      </c>
      <c r="F44" s="4">
        <f t="shared" si="0"/>
        <v>0</v>
      </c>
      <c r="G44" s="4">
        <f t="shared" si="1"/>
        <v>0</v>
      </c>
      <c r="H44" t="s">
        <v>8</v>
      </c>
      <c r="I44" t="s">
        <v>9</v>
      </c>
      <c r="J44" t="s">
        <v>61</v>
      </c>
    </row>
    <row r="45" spans="1:10" x14ac:dyDescent="0.2">
      <c r="A45" t="s">
        <v>7</v>
      </c>
      <c r="B45">
        <v>257</v>
      </c>
      <c r="C45" t="s">
        <v>62</v>
      </c>
      <c r="D45" s="3">
        <v>6.99</v>
      </c>
      <c r="E45" s="4" t="s">
        <v>19</v>
      </c>
      <c r="F45" s="4">
        <f t="shared" si="0"/>
        <v>0</v>
      </c>
      <c r="G45" s="4">
        <f t="shared" si="1"/>
        <v>0</v>
      </c>
      <c r="H45" t="s">
        <v>8</v>
      </c>
      <c r="I45" t="s">
        <v>9</v>
      </c>
      <c r="J45" t="s">
        <v>63</v>
      </c>
    </row>
    <row r="46" spans="1:10" x14ac:dyDescent="0.2">
      <c r="A46" t="s">
        <v>7</v>
      </c>
      <c r="B46">
        <v>261</v>
      </c>
      <c r="C46" t="s">
        <v>64</v>
      </c>
      <c r="D46" s="3">
        <v>6.99</v>
      </c>
      <c r="E46" s="4" t="s">
        <v>19</v>
      </c>
      <c r="F46" s="4">
        <f t="shared" si="0"/>
        <v>0</v>
      </c>
      <c r="G46" s="4">
        <f t="shared" si="1"/>
        <v>0</v>
      </c>
      <c r="H46" t="s">
        <v>8</v>
      </c>
      <c r="I46" t="s">
        <v>9</v>
      </c>
      <c r="J46" t="s">
        <v>65</v>
      </c>
    </row>
    <row r="47" spans="1:10" x14ac:dyDescent="0.2">
      <c r="A47" t="s">
        <v>7</v>
      </c>
      <c r="B47">
        <v>265</v>
      </c>
      <c r="C47" t="s">
        <v>191</v>
      </c>
      <c r="D47" s="3">
        <v>6.49</v>
      </c>
      <c r="E47" s="4" t="s">
        <v>19</v>
      </c>
      <c r="F47" s="4">
        <f t="shared" si="0"/>
        <v>0</v>
      </c>
      <c r="G47" s="4">
        <f t="shared" si="1"/>
        <v>0</v>
      </c>
      <c r="H47" t="s">
        <v>8</v>
      </c>
      <c r="I47" t="s">
        <v>9</v>
      </c>
      <c r="J47" t="s">
        <v>66</v>
      </c>
    </row>
    <row r="48" spans="1:10" x14ac:dyDescent="0.2">
      <c r="A48" t="s">
        <v>7</v>
      </c>
      <c r="B48">
        <v>277</v>
      </c>
      <c r="C48" t="s">
        <v>67</v>
      </c>
      <c r="D48" s="3">
        <v>6.49</v>
      </c>
      <c r="E48" s="4" t="s">
        <v>19</v>
      </c>
      <c r="F48" s="4">
        <f t="shared" si="0"/>
        <v>0</v>
      </c>
      <c r="G48" s="4">
        <f t="shared" si="1"/>
        <v>0</v>
      </c>
      <c r="H48" t="s">
        <v>8</v>
      </c>
      <c r="I48" t="s">
        <v>13</v>
      </c>
      <c r="J48" t="s">
        <v>68</v>
      </c>
    </row>
    <row r="49" spans="1:10" x14ac:dyDescent="0.2">
      <c r="A49" t="s">
        <v>7</v>
      </c>
      <c r="B49">
        <v>283</v>
      </c>
      <c r="C49" t="s">
        <v>193</v>
      </c>
      <c r="D49" s="3">
        <v>6.49</v>
      </c>
      <c r="E49" s="4" t="s">
        <v>19</v>
      </c>
      <c r="F49" s="4">
        <f t="shared" si="0"/>
        <v>0</v>
      </c>
      <c r="G49" s="4">
        <f t="shared" si="1"/>
        <v>0</v>
      </c>
      <c r="H49" t="s">
        <v>8</v>
      </c>
      <c r="I49" t="s">
        <v>13</v>
      </c>
      <c r="J49" t="s">
        <v>69</v>
      </c>
    </row>
    <row r="50" spans="1:10" x14ac:dyDescent="0.2">
      <c r="A50" t="s">
        <v>7</v>
      </c>
      <c r="B50">
        <v>289</v>
      </c>
      <c r="C50" t="s">
        <v>70</v>
      </c>
      <c r="D50" s="3">
        <v>4.99</v>
      </c>
      <c r="E50" s="4" t="s">
        <v>19</v>
      </c>
      <c r="F50" s="4">
        <f t="shared" si="0"/>
        <v>0</v>
      </c>
      <c r="G50" s="4">
        <f t="shared" si="1"/>
        <v>0</v>
      </c>
      <c r="H50" t="s">
        <v>8</v>
      </c>
      <c r="I50" t="s">
        <v>9</v>
      </c>
      <c r="J50" t="s">
        <v>71</v>
      </c>
    </row>
    <row r="51" spans="1:10" x14ac:dyDescent="0.2">
      <c r="A51" t="s">
        <v>7</v>
      </c>
      <c r="B51">
        <v>293</v>
      </c>
      <c r="C51" t="s">
        <v>77</v>
      </c>
      <c r="D51" s="3">
        <v>4.99</v>
      </c>
      <c r="E51" s="4" t="s">
        <v>19</v>
      </c>
      <c r="F51" s="4">
        <f t="shared" si="0"/>
        <v>0</v>
      </c>
      <c r="G51" s="4">
        <f t="shared" si="1"/>
        <v>0</v>
      </c>
      <c r="H51" t="s">
        <v>8</v>
      </c>
      <c r="I51" t="s">
        <v>9</v>
      </c>
      <c r="J51" t="s">
        <v>72</v>
      </c>
    </row>
    <row r="52" spans="1:10" x14ac:dyDescent="0.2">
      <c r="A52" t="s">
        <v>7</v>
      </c>
      <c r="B52">
        <v>299</v>
      </c>
      <c r="C52" t="s">
        <v>207</v>
      </c>
      <c r="D52" s="3">
        <v>3.58</v>
      </c>
      <c r="E52" s="4" t="s">
        <v>19</v>
      </c>
      <c r="F52" s="4">
        <f t="shared" si="0"/>
        <v>0</v>
      </c>
      <c r="G52" s="4">
        <f t="shared" si="1"/>
        <v>0</v>
      </c>
      <c r="H52" t="s">
        <v>8</v>
      </c>
      <c r="I52" t="s">
        <v>9</v>
      </c>
      <c r="J52" t="s">
        <v>73</v>
      </c>
    </row>
    <row r="53" spans="1:10" x14ac:dyDescent="0.2">
      <c r="A53" t="s">
        <v>7</v>
      </c>
      <c r="B53">
        <v>309</v>
      </c>
      <c r="C53" t="s">
        <v>194</v>
      </c>
      <c r="D53" s="3">
        <v>3.28</v>
      </c>
      <c r="E53" s="4" t="s">
        <v>19</v>
      </c>
      <c r="F53" s="4">
        <f t="shared" si="0"/>
        <v>0</v>
      </c>
      <c r="G53" s="4">
        <f t="shared" si="1"/>
        <v>0</v>
      </c>
      <c r="H53" t="s">
        <v>8</v>
      </c>
      <c r="I53" t="s">
        <v>9</v>
      </c>
      <c r="J53" t="s">
        <v>74</v>
      </c>
    </row>
    <row r="54" spans="1:10" x14ac:dyDescent="0.2">
      <c r="A54" t="s">
        <v>7</v>
      </c>
      <c r="B54">
        <v>323</v>
      </c>
      <c r="C54" t="s">
        <v>195</v>
      </c>
      <c r="D54" s="3">
        <v>2.42</v>
      </c>
      <c r="E54" s="4" t="s">
        <v>19</v>
      </c>
      <c r="F54" s="4">
        <f t="shared" si="0"/>
        <v>0</v>
      </c>
      <c r="G54" s="4">
        <f t="shared" si="1"/>
        <v>0</v>
      </c>
      <c r="H54" t="s">
        <v>8</v>
      </c>
      <c r="I54" t="s">
        <v>13</v>
      </c>
      <c r="J54" t="s">
        <v>75</v>
      </c>
    </row>
    <row r="55" spans="1:10" x14ac:dyDescent="0.2">
      <c r="A55" t="s">
        <v>7</v>
      </c>
      <c r="B55">
        <v>331</v>
      </c>
      <c r="C55" t="s">
        <v>196</v>
      </c>
      <c r="D55" s="3">
        <v>2.2999999999999998</v>
      </c>
      <c r="E55" s="4" t="s">
        <v>19</v>
      </c>
      <c r="F55" s="4">
        <f t="shared" si="0"/>
        <v>0</v>
      </c>
      <c r="G55" s="4">
        <f t="shared" si="1"/>
        <v>0</v>
      </c>
      <c r="H55" t="s">
        <v>8</v>
      </c>
      <c r="I55" t="s">
        <v>9</v>
      </c>
      <c r="J55" t="s">
        <v>76</v>
      </c>
    </row>
    <row r="56" spans="1:10" x14ac:dyDescent="0.2">
      <c r="A56" t="s">
        <v>7</v>
      </c>
      <c r="B56">
        <v>611</v>
      </c>
      <c r="C56" t="s">
        <v>78</v>
      </c>
      <c r="D56" s="3">
        <v>17.989999999999998</v>
      </c>
      <c r="E56" s="4" t="s">
        <v>19</v>
      </c>
      <c r="F56" s="4">
        <f t="shared" si="0"/>
        <v>0</v>
      </c>
      <c r="G56" s="4">
        <f t="shared" si="1"/>
        <v>0</v>
      </c>
      <c r="H56" t="s">
        <v>8</v>
      </c>
      <c r="I56" t="s">
        <v>9</v>
      </c>
      <c r="J56" t="s">
        <v>79</v>
      </c>
    </row>
    <row r="57" spans="1:10" x14ac:dyDescent="0.2">
      <c r="A57" t="s">
        <v>7</v>
      </c>
      <c r="B57">
        <v>615</v>
      </c>
      <c r="C57" t="s">
        <v>80</v>
      </c>
      <c r="D57" s="3">
        <v>12.49</v>
      </c>
      <c r="E57" s="4" t="s">
        <v>19</v>
      </c>
      <c r="F57" s="4">
        <f t="shared" si="0"/>
        <v>0</v>
      </c>
      <c r="G57" s="4">
        <f t="shared" si="1"/>
        <v>0</v>
      </c>
      <c r="H57" t="s">
        <v>8</v>
      </c>
      <c r="I57" t="s">
        <v>13</v>
      </c>
      <c r="J57" t="s">
        <v>81</v>
      </c>
    </row>
    <row r="58" spans="1:10" x14ac:dyDescent="0.2">
      <c r="A58" t="s">
        <v>7</v>
      </c>
      <c r="B58">
        <v>619</v>
      </c>
      <c r="C58" t="s">
        <v>82</v>
      </c>
      <c r="D58" s="3">
        <v>3.79</v>
      </c>
      <c r="E58" s="4" t="s">
        <v>19</v>
      </c>
      <c r="F58" s="4">
        <f t="shared" si="0"/>
        <v>0</v>
      </c>
      <c r="G58" s="4">
        <f t="shared" si="1"/>
        <v>0</v>
      </c>
      <c r="H58" t="s">
        <v>8</v>
      </c>
      <c r="I58" t="s">
        <v>13</v>
      </c>
      <c r="J58" t="s">
        <v>83</v>
      </c>
    </row>
    <row r="59" spans="1:10" x14ac:dyDescent="0.2">
      <c r="A59" t="s">
        <v>7</v>
      </c>
      <c r="B59">
        <v>623</v>
      </c>
      <c r="C59" t="s">
        <v>197</v>
      </c>
      <c r="D59" s="3">
        <v>15.49</v>
      </c>
      <c r="E59" s="4" t="s">
        <v>19</v>
      </c>
      <c r="F59" s="4">
        <f t="shared" si="0"/>
        <v>0</v>
      </c>
      <c r="G59" s="4">
        <f t="shared" si="1"/>
        <v>0</v>
      </c>
      <c r="H59" t="s">
        <v>8</v>
      </c>
      <c r="I59" t="s">
        <v>9</v>
      </c>
      <c r="J59" t="s">
        <v>84</v>
      </c>
    </row>
    <row r="60" spans="1:10" x14ac:dyDescent="0.2">
      <c r="A60" t="s">
        <v>7</v>
      </c>
      <c r="C60" t="s">
        <v>200</v>
      </c>
      <c r="D60" s="3">
        <v>-1</v>
      </c>
      <c r="E60" s="4"/>
      <c r="F60" s="4">
        <f t="shared" si="0"/>
        <v>0</v>
      </c>
      <c r="G60" s="4">
        <f t="shared" si="1"/>
        <v>0</v>
      </c>
    </row>
    <row r="61" spans="1:10" x14ac:dyDescent="0.2">
      <c r="A61" t="s">
        <v>7</v>
      </c>
      <c r="B61">
        <v>635</v>
      </c>
      <c r="C61" t="s">
        <v>85</v>
      </c>
      <c r="D61" s="3">
        <v>14.49</v>
      </c>
      <c r="E61" s="4" t="s">
        <v>19</v>
      </c>
      <c r="F61" s="4">
        <f t="shared" si="0"/>
        <v>0</v>
      </c>
      <c r="G61" s="4">
        <f t="shared" si="1"/>
        <v>0</v>
      </c>
      <c r="H61" t="s">
        <v>8</v>
      </c>
      <c r="I61" t="s">
        <v>9</v>
      </c>
      <c r="J61" t="s">
        <v>86</v>
      </c>
    </row>
    <row r="62" spans="1:10" x14ac:dyDescent="0.2">
      <c r="A62" t="s">
        <v>7</v>
      </c>
      <c r="B62">
        <v>639</v>
      </c>
      <c r="C62" t="s">
        <v>87</v>
      </c>
      <c r="D62" s="3">
        <v>6.99</v>
      </c>
      <c r="E62" s="4" t="s">
        <v>19</v>
      </c>
      <c r="F62" s="4">
        <f t="shared" si="0"/>
        <v>0</v>
      </c>
      <c r="G62" s="4">
        <f t="shared" si="1"/>
        <v>0</v>
      </c>
      <c r="H62" t="s">
        <v>8</v>
      </c>
      <c r="I62" t="s">
        <v>13</v>
      </c>
      <c r="J62" t="s">
        <v>88</v>
      </c>
    </row>
    <row r="63" spans="1:10" x14ac:dyDescent="0.2">
      <c r="A63" t="s">
        <v>7</v>
      </c>
      <c r="B63">
        <v>643</v>
      </c>
      <c r="C63" t="s">
        <v>198</v>
      </c>
      <c r="D63" s="3">
        <v>5.46</v>
      </c>
      <c r="E63" s="4" t="s">
        <v>19</v>
      </c>
      <c r="F63" s="4">
        <f t="shared" si="0"/>
        <v>0</v>
      </c>
      <c r="G63" s="4">
        <f t="shared" si="1"/>
        <v>0</v>
      </c>
      <c r="H63" t="s">
        <v>8</v>
      </c>
      <c r="I63" t="s">
        <v>9</v>
      </c>
      <c r="J63" t="s">
        <v>89</v>
      </c>
    </row>
    <row r="64" spans="1:10" x14ac:dyDescent="0.2">
      <c r="A64" t="s">
        <v>7</v>
      </c>
      <c r="B64">
        <v>651</v>
      </c>
      <c r="C64" t="s">
        <v>90</v>
      </c>
      <c r="D64" s="3">
        <v>4.17</v>
      </c>
      <c r="E64" s="4" t="s">
        <v>19</v>
      </c>
      <c r="F64" s="4">
        <f t="shared" si="0"/>
        <v>0</v>
      </c>
      <c r="G64" s="4">
        <f t="shared" si="1"/>
        <v>0</v>
      </c>
      <c r="H64" t="s">
        <v>8</v>
      </c>
      <c r="I64" t="s">
        <v>9</v>
      </c>
      <c r="J64" t="s">
        <v>91</v>
      </c>
    </row>
    <row r="65" spans="1:10" x14ac:dyDescent="0.2">
      <c r="A65" t="s">
        <v>7</v>
      </c>
      <c r="B65">
        <v>655</v>
      </c>
      <c r="C65" t="s">
        <v>93</v>
      </c>
      <c r="D65" s="3">
        <v>14.49</v>
      </c>
      <c r="E65" s="4" t="s">
        <v>19</v>
      </c>
      <c r="F65" s="4">
        <f t="shared" si="0"/>
        <v>0</v>
      </c>
      <c r="G65" s="4">
        <f t="shared" si="1"/>
        <v>0</v>
      </c>
      <c r="H65" t="s">
        <v>8</v>
      </c>
      <c r="I65" t="s">
        <v>13</v>
      </c>
      <c r="J65" t="s">
        <v>92</v>
      </c>
    </row>
    <row r="66" spans="1:10" x14ac:dyDescent="0.2">
      <c r="A66" t="s">
        <v>7</v>
      </c>
      <c r="B66">
        <v>659</v>
      </c>
      <c r="C66" t="s">
        <v>93</v>
      </c>
      <c r="D66" s="3">
        <v>7.49</v>
      </c>
      <c r="E66" s="4" t="s">
        <v>19</v>
      </c>
      <c r="F66" s="4">
        <f t="shared" si="0"/>
        <v>0</v>
      </c>
      <c r="G66" s="4">
        <f t="shared" si="1"/>
        <v>0</v>
      </c>
      <c r="H66" t="s">
        <v>8</v>
      </c>
      <c r="I66" t="s">
        <v>13</v>
      </c>
      <c r="J66" t="s">
        <v>94</v>
      </c>
    </row>
    <row r="67" spans="1:10" x14ac:dyDescent="0.2">
      <c r="A67" t="s">
        <v>7</v>
      </c>
      <c r="B67">
        <v>665</v>
      </c>
      <c r="C67" t="s">
        <v>95</v>
      </c>
      <c r="D67" s="3">
        <v>4.72</v>
      </c>
      <c r="E67" s="4" t="s">
        <v>19</v>
      </c>
      <c r="F67" s="4">
        <f t="shared" ref="F67:F71" si="2">IF(OR(E67="C",E67=""),0,D67*0.05)</f>
        <v>0</v>
      </c>
      <c r="G67" s="4">
        <f t="shared" ref="G67:G71" si="3">IF(OR(E67="C",E67=""),0,D67*0.07)</f>
        <v>0</v>
      </c>
      <c r="H67" t="s">
        <v>8</v>
      </c>
      <c r="I67" t="s">
        <v>9</v>
      </c>
      <c r="J67" t="s">
        <v>96</v>
      </c>
    </row>
    <row r="68" spans="1:10" x14ac:dyDescent="0.2">
      <c r="A68" t="s">
        <v>7</v>
      </c>
      <c r="B68">
        <v>669</v>
      </c>
      <c r="C68" t="s">
        <v>97</v>
      </c>
      <c r="D68" s="3">
        <v>3.99</v>
      </c>
      <c r="E68" s="4" t="s">
        <v>19</v>
      </c>
      <c r="F68" s="4">
        <f t="shared" si="2"/>
        <v>0</v>
      </c>
      <c r="G68" s="4">
        <f t="shared" si="3"/>
        <v>0</v>
      </c>
      <c r="H68" t="s">
        <v>8</v>
      </c>
      <c r="I68" t="s">
        <v>98</v>
      </c>
      <c r="J68" t="s">
        <v>99</v>
      </c>
    </row>
    <row r="69" spans="1:10" x14ac:dyDescent="0.2">
      <c r="A69" t="s">
        <v>7</v>
      </c>
      <c r="B69">
        <v>673</v>
      </c>
      <c r="C69" t="s">
        <v>100</v>
      </c>
      <c r="D69" s="3">
        <v>5.49</v>
      </c>
      <c r="E69" s="4" t="s">
        <v>19</v>
      </c>
      <c r="F69" s="4">
        <f t="shared" si="2"/>
        <v>0</v>
      </c>
      <c r="G69" s="4">
        <f t="shared" si="3"/>
        <v>0</v>
      </c>
      <c r="H69" t="s">
        <v>8</v>
      </c>
      <c r="I69" t="s">
        <v>9</v>
      </c>
      <c r="J69" t="s">
        <v>101</v>
      </c>
    </row>
    <row r="70" spans="1:10" x14ac:dyDescent="0.2">
      <c r="A70" t="s">
        <v>7</v>
      </c>
      <c r="B70">
        <v>677</v>
      </c>
      <c r="C70" t="s">
        <v>102</v>
      </c>
      <c r="D70" s="3">
        <v>4.99</v>
      </c>
      <c r="E70" s="4" t="s">
        <v>19</v>
      </c>
      <c r="F70" s="4">
        <f t="shared" si="2"/>
        <v>0</v>
      </c>
      <c r="G70" s="4">
        <f t="shared" si="3"/>
        <v>0</v>
      </c>
      <c r="H70" t="s">
        <v>8</v>
      </c>
      <c r="I70" t="s">
        <v>9</v>
      </c>
      <c r="J70" t="s">
        <v>103</v>
      </c>
    </row>
    <row r="71" spans="1:10" x14ac:dyDescent="0.2">
      <c r="A71" t="s">
        <v>7</v>
      </c>
      <c r="B71">
        <v>681</v>
      </c>
      <c r="C71" t="s">
        <v>104</v>
      </c>
      <c r="D71" s="3">
        <v>3.49</v>
      </c>
      <c r="E71" s="4" t="s">
        <v>19</v>
      </c>
      <c r="F71" s="4">
        <f t="shared" si="2"/>
        <v>0</v>
      </c>
      <c r="G71" s="4">
        <f t="shared" si="3"/>
        <v>0</v>
      </c>
      <c r="H71" t="s">
        <v>8</v>
      </c>
      <c r="I71" t="s">
        <v>13</v>
      </c>
      <c r="J71" t="s">
        <v>105</v>
      </c>
    </row>
    <row r="72" spans="1:10" x14ac:dyDescent="0.2">
      <c r="C72" t="s">
        <v>199</v>
      </c>
      <c r="D72" s="3">
        <f>SUM(D2:D71)</f>
        <v>355.86000000000018</v>
      </c>
    </row>
    <row r="73" spans="1:10" x14ac:dyDescent="0.2">
      <c r="C73" t="s">
        <v>201</v>
      </c>
      <c r="D73" s="3">
        <v>3.37</v>
      </c>
      <c r="F73" s="3">
        <f>SUM(F2:F72)</f>
        <v>3.3690000000000015</v>
      </c>
      <c r="G73" s="3">
        <f>SUM(G2:G72)</f>
        <v>4.7166000000000006</v>
      </c>
    </row>
    <row r="74" spans="1:10" x14ac:dyDescent="0.2">
      <c r="C74" t="s">
        <v>202</v>
      </c>
      <c r="D74" s="3">
        <v>4.72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zoomScaleNormal="100" workbookViewId="0"/>
  </sheetViews>
  <sheetFormatPr baseColWidth="10" defaultColWidth="8.83203125" defaultRowHeight="15" x14ac:dyDescent="0.2"/>
  <cols>
    <col min="1" max="2" width="24" customWidth="1"/>
    <col min="3" max="3" width="28" customWidth="1"/>
    <col min="4" max="4" width="20" customWidth="1"/>
    <col min="5" max="5" width="14" customWidth="1"/>
    <col min="6" max="6" width="9" customWidth="1"/>
    <col min="7" max="7" width="11" customWidth="1"/>
    <col min="8" max="8" width="19" customWidth="1"/>
  </cols>
  <sheetData>
    <row r="1" spans="1:8" x14ac:dyDescent="0.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">
      <c r="A2" t="s">
        <v>7</v>
      </c>
      <c r="B2" t="s">
        <v>7</v>
      </c>
      <c r="C2" t="s">
        <v>113</v>
      </c>
      <c r="D2">
        <v>363.95</v>
      </c>
      <c r="G2">
        <v>363.95</v>
      </c>
      <c r="H2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"/>
  <sheetViews>
    <sheetView workbookViewId="0"/>
  </sheetViews>
  <sheetFormatPr baseColWidth="10" defaultColWidth="8.83203125" defaultRowHeight="15" x14ac:dyDescent="0.2"/>
  <cols>
    <col min="1" max="1" width="24" customWidth="1"/>
    <col min="2" max="26" width="53" customWidth="1"/>
    <col min="27" max="61" width="54" customWidth="1"/>
    <col min="62" max="62" width="14" customWidth="1"/>
  </cols>
  <sheetData>
    <row r="1" spans="1:62" x14ac:dyDescent="0.2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47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8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</row>
    <row r="2" spans="1:62" x14ac:dyDescent="0.2">
      <c r="A2" t="s">
        <v>7</v>
      </c>
      <c r="B2">
        <f>SUMIFS(Items!$D:$D,Items!$A:$A,$A2,Items!$H:$H,B1)</f>
        <v>0</v>
      </c>
      <c r="C2">
        <f>SUMIFS(Items!$D:$D,Items!$A:$A,$A2,Items!$H:$H,C1)</f>
        <v>0</v>
      </c>
      <c r="D2">
        <f>SUMIFS(Items!$D:$D,Items!$A:$A,$A2,Items!$H:$H,D1)</f>
        <v>0</v>
      </c>
      <c r="E2">
        <f>SUMIFS(Items!$D:$D,Items!$A:$A,$A2,Items!$H:$H,E1)</f>
        <v>0</v>
      </c>
      <c r="F2">
        <f>SUMIFS(Items!$D:$D,Items!$A:$A,$A2,Items!$H:$H,F1)</f>
        <v>0</v>
      </c>
      <c r="G2">
        <f>SUMIFS(Items!$D:$D,Items!$A:$A,$A2,Items!$H:$H,G1)</f>
        <v>0</v>
      </c>
      <c r="H2">
        <f>SUMIFS(Items!$D:$D,Items!$A:$A,$A2,Items!$H:$H,H1)</f>
        <v>0</v>
      </c>
      <c r="I2">
        <f>SUMIFS(Items!$D:$D,Items!$A:$A,$A2,Items!$H:$H,I1)</f>
        <v>0</v>
      </c>
      <c r="J2">
        <f>SUMIFS(Items!$D:$D,Items!$A:$A,$A2,Items!$H:$H,J1)</f>
        <v>8.58</v>
      </c>
      <c r="K2">
        <f>SUMIFS(Items!$D:$D,Items!$A:$A,$A2,Items!$H:$H,K1)</f>
        <v>0</v>
      </c>
      <c r="L2">
        <f>SUMIFS(Items!$D:$D,Items!$A:$A,$A2,Items!$H:$H,L1)</f>
        <v>0</v>
      </c>
      <c r="M2">
        <f>SUMIFS(Items!$D:$D,Items!$A:$A,$A2,Items!$H:$H,M1)</f>
        <v>0</v>
      </c>
      <c r="N2">
        <f>SUMIFS(Items!$D:$D,Items!$A:$A,$A2,Items!$H:$H,N1)</f>
        <v>0</v>
      </c>
      <c r="O2">
        <f>SUMIFS(Items!$D:$D,Items!$A:$A,$A2,Items!$H:$H,O1)</f>
        <v>0</v>
      </c>
      <c r="P2">
        <f>SUMIFS(Items!$D:$D,Items!$A:$A,$A2,Items!$H:$H,P1)</f>
        <v>0</v>
      </c>
      <c r="Q2">
        <f>SUMIFS(Items!$D:$D,Items!$A:$A,$A2,Items!$H:$H,Q1)</f>
        <v>0</v>
      </c>
      <c r="R2">
        <f>SUMIFS(Items!$D:$D,Items!$A:$A,$A2,Items!$H:$H,R1)</f>
        <v>0</v>
      </c>
      <c r="S2">
        <f>SUMIFS(Items!$D:$D,Items!$A:$A,$A2,Items!$H:$H,S1)</f>
        <v>0</v>
      </c>
      <c r="T2">
        <f>SUMIFS(Items!$D:$D,Items!$A:$A,$A2,Items!$H:$H,T1)</f>
        <v>0</v>
      </c>
      <c r="U2">
        <f>SUMIFS(Items!$D:$D,Items!$A:$A,$A2,Items!$H:$H,U1)</f>
        <v>336.47000000000014</v>
      </c>
      <c r="V2">
        <f>SUMIFS(Items!$D:$D,Items!$A:$A,$A2,Items!$H:$H,V1)</f>
        <v>0</v>
      </c>
      <c r="W2">
        <f>SUMIFS(Items!$D:$D,Items!$A:$A,$A2,Items!$H:$H,W1)</f>
        <v>0</v>
      </c>
      <c r="X2">
        <f>SUMIFS(Items!$D:$D,Items!$A:$A,$A2,Items!$H:$H,X1)</f>
        <v>0</v>
      </c>
      <c r="Y2">
        <f>SUMIFS(Items!$D:$D,Items!$A:$A,$A2,Items!$H:$H,Y1)</f>
        <v>0</v>
      </c>
      <c r="Z2">
        <f>SUMIFS(Items!$D:$D,Items!$A:$A,$A2,Items!$H:$H,Z1)</f>
        <v>0</v>
      </c>
      <c r="AA2">
        <f>SUMIFS(Items!$D:$D,Items!$A:$A,$A2,Items!$H:$H,AA1)</f>
        <v>0</v>
      </c>
      <c r="AB2">
        <f>SUMIFS(Items!$D:$D,Items!$A:$A,$A2,Items!$H:$H,AB1)</f>
        <v>0</v>
      </c>
      <c r="AC2">
        <f>SUMIFS(Items!$D:$D,Items!$A:$A,$A2,Items!$H:$H,AC1)</f>
        <v>0</v>
      </c>
      <c r="AD2">
        <f>SUMIFS(Items!$D:$D,Items!$A:$A,$A2,Items!$H:$H,AD1)</f>
        <v>0</v>
      </c>
      <c r="AE2">
        <f>SUMIFS(Items!$D:$D,Items!$A:$A,$A2,Items!$H:$H,AE1)</f>
        <v>0</v>
      </c>
      <c r="AF2">
        <f>SUMIFS(Items!$D:$D,Items!$A:$A,$A2,Items!$H:$H,AF1)</f>
        <v>0</v>
      </c>
      <c r="AG2">
        <f>SUMIFS(Items!$D:$D,Items!$A:$A,$A2,Items!$H:$H,AG1)</f>
        <v>0</v>
      </c>
      <c r="AH2">
        <f>SUMIFS(Items!$D:$D,Items!$A:$A,$A2,Items!$H:$H,AH1)</f>
        <v>0</v>
      </c>
      <c r="AI2">
        <f>SUMIFS(Items!$D:$D,Items!$A:$A,$A2,Items!$H:$H,AI1)</f>
        <v>0</v>
      </c>
      <c r="AJ2">
        <f>SUMIFS(Items!$D:$D,Items!$A:$A,$A2,Items!$H:$H,AJ1)</f>
        <v>0</v>
      </c>
      <c r="AK2">
        <f>SUMIFS(Items!$D:$D,Items!$A:$A,$A2,Items!$H:$H,AK1)</f>
        <v>0</v>
      </c>
      <c r="AL2">
        <f>SUMIFS(Items!$D:$D,Items!$A:$A,$A2,Items!$H:$H,AL1)</f>
        <v>0</v>
      </c>
      <c r="AM2">
        <f>SUMIFS(Items!$D:$D,Items!$A:$A,$A2,Items!$H:$H,AM1)</f>
        <v>0</v>
      </c>
      <c r="AN2">
        <f>SUMIFS(Items!$D:$D,Items!$A:$A,$A2,Items!$H:$H,AN1)</f>
        <v>0</v>
      </c>
      <c r="AO2">
        <f>SUMIFS(Items!$D:$D,Items!$A:$A,$A2,Items!$H:$H,AO1)</f>
        <v>0</v>
      </c>
      <c r="AP2">
        <f>SUMIFS(Items!$D:$D,Items!$A:$A,$A2,Items!$H:$H,AP1)</f>
        <v>0</v>
      </c>
      <c r="AQ2">
        <f>SUMIFS(Items!$D:$D,Items!$A:$A,$A2,Items!$H:$H,AQ1)</f>
        <v>0</v>
      </c>
      <c r="AR2">
        <f>SUMIFS(Items!$D:$D,Items!$A:$A,$A2,Items!$H:$H,AR1)</f>
        <v>0</v>
      </c>
      <c r="AS2">
        <f>SUMIFS(Items!$D:$D,Items!$A:$A,$A2,Items!$H:$H,AS1)</f>
        <v>0</v>
      </c>
      <c r="AT2">
        <f>SUMIFS(Items!$D:$D,Items!$A:$A,$A2,Items!$H:$H,AT1)</f>
        <v>0</v>
      </c>
      <c r="AU2">
        <f>SUMIFS(Items!$D:$D,Items!$A:$A,$A2,Items!$H:$H,AU1)</f>
        <v>0</v>
      </c>
      <c r="AV2">
        <f>SUMIFS(Items!$D:$D,Items!$A:$A,$A2,Items!$H:$H,AV1)</f>
        <v>0</v>
      </c>
      <c r="AW2">
        <f>SUMIFS(Items!$D:$D,Items!$A:$A,$A2,Items!$H:$H,AW1)</f>
        <v>0</v>
      </c>
      <c r="AX2">
        <f>SUMIFS(Items!$D:$D,Items!$A:$A,$A2,Items!$H:$H,AX1)</f>
        <v>0</v>
      </c>
      <c r="AY2">
        <f>SUMIFS(Items!$D:$D,Items!$A:$A,$A2,Items!$H:$H,AY1)</f>
        <v>0</v>
      </c>
      <c r="AZ2">
        <f>SUMIFS(Items!$D:$D,Items!$A:$A,$A2,Items!$H:$H,AZ1)</f>
        <v>0</v>
      </c>
      <c r="BA2">
        <f>SUMIFS(Items!$D:$D,Items!$A:$A,$A2,Items!$H:$H,BA1)</f>
        <v>0</v>
      </c>
      <c r="BB2">
        <f>SUMIFS(Items!$D:$D,Items!$A:$A,$A2,Items!$H:$H,BB1)</f>
        <v>0</v>
      </c>
      <c r="BC2">
        <f>SUMIFS(Items!$D:$D,Items!$A:$A,$A2,Items!$H:$H,BC1)</f>
        <v>0</v>
      </c>
      <c r="BD2">
        <f>SUMIFS(Items!$D:$D,Items!$A:$A,$A2,Items!$H:$H,BD1)</f>
        <v>0</v>
      </c>
      <c r="BE2">
        <f>SUMIFS(Items!$D:$D,Items!$A:$A,$A2,Items!$H:$H,BE1)</f>
        <v>0</v>
      </c>
      <c r="BF2">
        <f>SUMIFS(Items!$D:$D,Items!$A:$A,$A2,Items!$H:$H,BF1)</f>
        <v>0</v>
      </c>
      <c r="BG2">
        <f>SUMIFS(Items!$D:$D,Items!$A:$A,$A2,Items!$H:$H,BG1)</f>
        <v>0</v>
      </c>
      <c r="BH2">
        <f>SUMIFS(Items!$D:$D,Items!$A:$A,$A2,Items!$H:$H,BH1)</f>
        <v>0</v>
      </c>
      <c r="BI2">
        <f>SUMIFS(Items!$D:$D,Items!$A:$A,$A2,Items!$H:$H,BI1)</f>
        <v>0</v>
      </c>
      <c r="BJ2">
        <f>SUM(B2:BI2)</f>
        <v>345.05000000000013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x14ac:dyDescent="0.2">
      <c r="A1" s="1" t="s">
        <v>173</v>
      </c>
    </row>
    <row r="2" spans="1:1" x14ac:dyDescent="0.2">
      <c r="A2" t="s">
        <v>174</v>
      </c>
    </row>
    <row r="3" spans="1:1" x14ac:dyDescent="0.2">
      <c r="A3" t="s">
        <v>175</v>
      </c>
    </row>
    <row r="4" spans="1:1" x14ac:dyDescent="0.2">
      <c r="A4" t="s">
        <v>176</v>
      </c>
    </row>
    <row r="5" spans="1:1" x14ac:dyDescent="0.2">
      <c r="A5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Receipts</vt:lpstr>
      <vt:lpstr>Receipt Category Totals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La Rocque</cp:lastModifiedBy>
  <dcterms:created xsi:type="dcterms:W3CDTF">2026-04-20T01:17:19Z</dcterms:created>
  <dcterms:modified xsi:type="dcterms:W3CDTF">2026-04-20T10:58:54Z</dcterms:modified>
</cp:coreProperties>
</file>